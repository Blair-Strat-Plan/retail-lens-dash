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B7B6D9F1-B58B-4762-B5B1-1BA06EFD3D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2" i="1"/>
  <c r="L3" i="1"/>
  <c r="L4" i="1"/>
  <c r="L5" i="1"/>
  <c r="L6" i="1"/>
  <c r="L7" i="1"/>
  <c r="L8" i="1"/>
  <c r="L9" i="1"/>
  <c r="L2" i="1"/>
  <c r="H3" i="1"/>
  <c r="K3" i="1" s="1"/>
  <c r="H4" i="1"/>
  <c r="K4" i="1" s="1"/>
  <c r="H5" i="1"/>
  <c r="K5" i="1" s="1"/>
  <c r="H6" i="1"/>
  <c r="K6" i="1" s="1"/>
  <c r="H7" i="1"/>
  <c r="H8" i="1"/>
  <c r="K8" i="1" s="1"/>
  <c r="H9" i="1"/>
  <c r="H2" i="1"/>
  <c r="J2" i="1" s="1"/>
  <c r="I3" i="1"/>
  <c r="N3" i="1" s="1"/>
  <c r="I4" i="1"/>
  <c r="N4" i="1" s="1"/>
  <c r="I5" i="1"/>
  <c r="N5" i="1" s="1"/>
  <c r="I6" i="1"/>
  <c r="N6" i="1" s="1"/>
  <c r="I7" i="1"/>
  <c r="N7" i="1" s="1"/>
  <c r="I8" i="1"/>
  <c r="N8" i="1" s="1"/>
  <c r="I9" i="1"/>
  <c r="N9" i="1" s="1"/>
  <c r="I2" i="1"/>
  <c r="N2" i="1" s="1"/>
  <c r="J9" i="1" l="1"/>
  <c r="J7" i="1"/>
  <c r="J5" i="1"/>
  <c r="J6" i="1"/>
  <c r="J3" i="1"/>
  <c r="J4" i="1"/>
  <c r="K2" i="1"/>
  <c r="K9" i="1"/>
  <c r="J8" i="1"/>
  <c r="M8" i="1" s="1"/>
  <c r="K7" i="1"/>
  <c r="M7" i="1" l="1"/>
  <c r="M9" i="1"/>
  <c r="M2" i="1"/>
  <c r="M4" i="1"/>
  <c r="M3" i="1"/>
  <c r="M5" i="1"/>
  <c r="M6" i="1"/>
</calcChain>
</file>

<file path=xl/sharedStrings.xml><?xml version="1.0" encoding="utf-8"?>
<sst xmlns="http://schemas.openxmlformats.org/spreadsheetml/2006/main" count="47" uniqueCount="28">
  <si>
    <t>Product</t>
  </si>
  <si>
    <t>Sales</t>
  </si>
  <si>
    <t>Laptops</t>
  </si>
  <si>
    <t>Smartphones</t>
  </si>
  <si>
    <t>Tablets</t>
  </si>
  <si>
    <t>Monitors</t>
  </si>
  <si>
    <t>Keyboards</t>
  </si>
  <si>
    <t>Mice</t>
  </si>
  <si>
    <t>Headphones</t>
  </si>
  <si>
    <t>Webcams</t>
  </si>
  <si>
    <t>Units</t>
  </si>
  <si>
    <t>Wholesale Price</t>
  </si>
  <si>
    <t>Profit per unit</t>
  </si>
  <si>
    <t>Retail Price</t>
  </si>
  <si>
    <t>Sum Profit</t>
  </si>
  <si>
    <t>Gross Margin</t>
  </si>
  <si>
    <t>Revenue Share</t>
  </si>
  <si>
    <t>Profit Share</t>
  </si>
  <si>
    <t>Inventory Cost</t>
  </si>
  <si>
    <t>Type</t>
  </si>
  <si>
    <t>Core</t>
  </si>
  <si>
    <t>Accessory</t>
  </si>
  <si>
    <t>Margin Tier</t>
  </si>
  <si>
    <t>Price Tier</t>
  </si>
  <si>
    <t>High</t>
  </si>
  <si>
    <t>Medium</t>
  </si>
  <si>
    <t>Low</t>
  </si>
  <si>
    <t>Profit per $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</si>
</sst>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0" fillId="0" borderId="0" xfId="0" applyNumberFormat="1"/>
    <xf numFmtId="44" fontId="0" fillId="0" borderId="0" xfId="0" applyNumberFormat="1"/>
    <xf numFmtId="4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9"/>
  <sheetViews>
    <sheetView tabSelected="1" workbookViewId="0">
      <selection activeCell="O4" sqref="O4"/>
    </sheetView>
  </sheetViews>
  <sheetFormatPr defaultRowHeight="15" x14ac:dyDescent="0.25"/>
  <cols>
    <col min="1" max="4" width="13.7109375" customWidth="1"/>
    <col min="5" max="5" width="13.7109375" style="1" customWidth="1"/>
    <col min="6" max="15" width="13.7109375" customWidth="1"/>
  </cols>
  <sheetData>
    <row r="1" spans="1:15" s="4" customFormat="1" ht="30" x14ac:dyDescent="0.25">
      <c r="A1" s="2" t="s">
        <v>0</v>
      </c>
      <c r="B1" s="2" t="s">
        <v>19</v>
      </c>
      <c r="C1" s="2" t="s">
        <v>23</v>
      </c>
      <c r="D1" s="2" t="s">
        <v>22</v>
      </c>
      <c r="E1" s="3" t="s">
        <v>1</v>
      </c>
      <c r="F1" s="2" t="s">
        <v>13</v>
      </c>
      <c r="G1" s="2" t="s">
        <v>11</v>
      </c>
      <c r="H1" s="2" t="s">
        <v>12</v>
      </c>
      <c r="I1" s="3" t="s">
        <v>10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27</v>
      </c>
    </row>
    <row r="2" spans="1:15" ht="18.75" customHeight="1" x14ac:dyDescent="0.25">
      <c r="A2" t="s">
        <v>2</v>
      </c>
      <c r="B2" t="s">
        <v>20</v>
      </c>
      <c r="C2" t="s">
        <v>24</v>
      </c>
      <c r="D2" t="s">
        <v>25</v>
      </c>
      <c r="E2" s="7">
        <v>45000</v>
      </c>
      <c r="F2" s="6">
        <v>1500</v>
      </c>
      <c r="G2" s="6">
        <v>1100</v>
      </c>
      <c r="H2" s="6">
        <f>F2-G2</f>
        <v>400</v>
      </c>
      <c r="I2">
        <f t="shared" ref="I2:I9" si="0">E2/F2</f>
        <v>30</v>
      </c>
      <c r="J2" s="6">
        <f>H2*I2</f>
        <v>12000</v>
      </c>
      <c r="K2" s="5">
        <f>H2/F2</f>
        <v>0.26666666666666666</v>
      </c>
      <c r="L2" s="5">
        <f>E2/SUM($E$2:$E$9)</f>
        <v>0.1875</v>
      </c>
      <c r="M2" s="5">
        <f>J2/SUM($J$2:$J$9)</f>
        <v>0.17216642754662842</v>
      </c>
      <c r="N2" s="6">
        <f>G2*I2</f>
        <v>33000</v>
      </c>
      <c r="O2" s="5">
        <f>J2/N2</f>
        <v>0.36363636363636365</v>
      </c>
    </row>
    <row r="3" spans="1:15" ht="18.75" customHeight="1" x14ac:dyDescent="0.25">
      <c r="A3" t="s">
        <v>3</v>
      </c>
      <c r="B3" t="s">
        <v>20</v>
      </c>
      <c r="C3" t="s">
        <v>24</v>
      </c>
      <c r="D3" t="s">
        <v>26</v>
      </c>
      <c r="E3" s="7">
        <v>67000</v>
      </c>
      <c r="F3" s="6">
        <v>1000</v>
      </c>
      <c r="G3" s="6">
        <v>850</v>
      </c>
      <c r="H3" s="6">
        <f t="shared" ref="H3:H9" si="1">F3-G3</f>
        <v>150</v>
      </c>
      <c r="I3">
        <f t="shared" si="0"/>
        <v>67</v>
      </c>
      <c r="J3" s="6">
        <f t="shared" ref="J3:J9" si="2">H3*I3</f>
        <v>10050</v>
      </c>
      <c r="K3" s="5">
        <f t="shared" ref="K3:K9" si="3">H3/F3</f>
        <v>0.15</v>
      </c>
      <c r="L3" s="5">
        <f t="shared" ref="L3:L9" si="4">E3/SUM($E$2:$E$9)</f>
        <v>0.27916666666666667</v>
      </c>
      <c r="M3" s="5">
        <f t="shared" ref="M3:M9" si="5">J3/SUM($J$2:$J$9)</f>
        <v>0.1441893830703013</v>
      </c>
      <c r="N3" s="6">
        <f t="shared" ref="N3:N9" si="6">G3*I3</f>
        <v>56950</v>
      </c>
      <c r="O3" s="5">
        <f t="shared" ref="O3:O9" si="7">J3/N3</f>
        <v>0.17647058823529413</v>
      </c>
    </row>
    <row r="4" spans="1:15" ht="18.75" customHeight="1" x14ac:dyDescent="0.25">
      <c r="A4" t="s">
        <v>4</v>
      </c>
      <c r="B4" t="s">
        <v>20</v>
      </c>
      <c r="C4" t="s">
        <v>24</v>
      </c>
      <c r="D4" t="s">
        <v>24</v>
      </c>
      <c r="E4" s="7">
        <v>32000</v>
      </c>
      <c r="F4" s="6">
        <v>800</v>
      </c>
      <c r="G4" s="6">
        <v>480</v>
      </c>
      <c r="H4" s="6">
        <f t="shared" si="1"/>
        <v>320</v>
      </c>
      <c r="I4">
        <f t="shared" si="0"/>
        <v>40</v>
      </c>
      <c r="J4" s="6">
        <f t="shared" si="2"/>
        <v>12800</v>
      </c>
      <c r="K4" s="5">
        <f t="shared" si="3"/>
        <v>0.4</v>
      </c>
      <c r="L4" s="5">
        <f t="shared" si="4"/>
        <v>0.13333333333333333</v>
      </c>
      <c r="M4" s="5">
        <f t="shared" si="5"/>
        <v>0.18364418938307031</v>
      </c>
      <c r="N4" s="6">
        <f t="shared" si="6"/>
        <v>19200</v>
      </c>
      <c r="O4" s="5">
        <f t="shared" si="7"/>
        <v>0.66666666666666663</v>
      </c>
    </row>
    <row r="5" spans="1:15" ht="18.75" customHeight="1" x14ac:dyDescent="0.25">
      <c r="A5" t="s">
        <v>5</v>
      </c>
      <c r="B5" t="s">
        <v>21</v>
      </c>
      <c r="C5" t="s">
        <v>25</v>
      </c>
      <c r="D5" t="s">
        <v>25</v>
      </c>
      <c r="E5" s="7">
        <v>28000</v>
      </c>
      <c r="F5" s="6">
        <v>350</v>
      </c>
      <c r="G5" s="6">
        <v>230</v>
      </c>
      <c r="H5" s="6">
        <f t="shared" si="1"/>
        <v>120</v>
      </c>
      <c r="I5">
        <f t="shared" si="0"/>
        <v>80</v>
      </c>
      <c r="J5" s="6">
        <f t="shared" si="2"/>
        <v>9600</v>
      </c>
      <c r="K5" s="5">
        <f t="shared" si="3"/>
        <v>0.34285714285714286</v>
      </c>
      <c r="L5" s="5">
        <f t="shared" si="4"/>
        <v>0.11666666666666667</v>
      </c>
      <c r="M5" s="5">
        <f t="shared" si="5"/>
        <v>0.13773314203730272</v>
      </c>
      <c r="N5" s="6">
        <f t="shared" si="6"/>
        <v>18400</v>
      </c>
      <c r="O5" s="5">
        <f t="shared" si="7"/>
        <v>0.52173913043478259</v>
      </c>
    </row>
    <row r="6" spans="1:15" ht="18.75" customHeight="1" x14ac:dyDescent="0.25">
      <c r="A6" t="s">
        <v>6</v>
      </c>
      <c r="B6" t="s">
        <v>21</v>
      </c>
      <c r="C6" t="s">
        <v>26</v>
      </c>
      <c r="D6" t="s">
        <v>24</v>
      </c>
      <c r="E6" s="7">
        <v>15000</v>
      </c>
      <c r="F6" s="6">
        <v>75</v>
      </c>
      <c r="G6" s="6">
        <v>45</v>
      </c>
      <c r="H6" s="6">
        <f t="shared" si="1"/>
        <v>30</v>
      </c>
      <c r="I6">
        <f t="shared" si="0"/>
        <v>200</v>
      </c>
      <c r="J6" s="6">
        <f t="shared" si="2"/>
        <v>6000</v>
      </c>
      <c r="K6" s="5">
        <f t="shared" si="3"/>
        <v>0.4</v>
      </c>
      <c r="L6" s="5">
        <f t="shared" si="4"/>
        <v>6.25E-2</v>
      </c>
      <c r="M6" s="5">
        <f t="shared" si="5"/>
        <v>8.608321377331421E-2</v>
      </c>
      <c r="N6" s="6">
        <f t="shared" si="6"/>
        <v>9000</v>
      </c>
      <c r="O6" s="5">
        <f t="shared" si="7"/>
        <v>0.66666666666666663</v>
      </c>
    </row>
    <row r="7" spans="1:15" ht="18.75" customHeight="1" x14ac:dyDescent="0.25">
      <c r="A7" t="s">
        <v>7</v>
      </c>
      <c r="B7" t="s">
        <v>21</v>
      </c>
      <c r="C7" t="s">
        <v>26</v>
      </c>
      <c r="D7" t="s">
        <v>24</v>
      </c>
      <c r="E7" s="7">
        <v>12000</v>
      </c>
      <c r="F7" s="6">
        <v>60</v>
      </c>
      <c r="G7" s="6">
        <v>35</v>
      </c>
      <c r="H7" s="6">
        <f t="shared" si="1"/>
        <v>25</v>
      </c>
      <c r="I7">
        <f t="shared" si="0"/>
        <v>200</v>
      </c>
      <c r="J7" s="6">
        <f t="shared" si="2"/>
        <v>5000</v>
      </c>
      <c r="K7" s="5">
        <f t="shared" si="3"/>
        <v>0.41666666666666669</v>
      </c>
      <c r="L7" s="5">
        <f t="shared" si="4"/>
        <v>0.05</v>
      </c>
      <c r="M7" s="5">
        <f t="shared" si="5"/>
        <v>7.1736011477761832E-2</v>
      </c>
      <c r="N7" s="6">
        <f t="shared" si="6"/>
        <v>7000</v>
      </c>
      <c r="O7" s="5">
        <f t="shared" si="7"/>
        <v>0.7142857142857143</v>
      </c>
    </row>
    <row r="8" spans="1:15" ht="18.75" customHeight="1" x14ac:dyDescent="0.25">
      <c r="A8" t="s">
        <v>8</v>
      </c>
      <c r="B8" t="s">
        <v>21</v>
      </c>
      <c r="C8" t="s">
        <v>25</v>
      </c>
      <c r="D8" t="s">
        <v>24</v>
      </c>
      <c r="E8" s="7">
        <v>23000</v>
      </c>
      <c r="F8" s="6">
        <v>230</v>
      </c>
      <c r="G8" s="6">
        <v>140</v>
      </c>
      <c r="H8" s="6">
        <f t="shared" si="1"/>
        <v>90</v>
      </c>
      <c r="I8">
        <f t="shared" si="0"/>
        <v>100</v>
      </c>
      <c r="J8" s="6">
        <f t="shared" si="2"/>
        <v>9000</v>
      </c>
      <c r="K8" s="5">
        <f t="shared" si="3"/>
        <v>0.39130434782608697</v>
      </c>
      <c r="L8" s="5">
        <f t="shared" si="4"/>
        <v>9.583333333333334E-2</v>
      </c>
      <c r="M8" s="5">
        <f t="shared" si="5"/>
        <v>0.1291248206599713</v>
      </c>
      <c r="N8" s="6">
        <f t="shared" si="6"/>
        <v>14000</v>
      </c>
      <c r="O8" s="5">
        <f t="shared" si="7"/>
        <v>0.6428571428571429</v>
      </c>
    </row>
    <row r="9" spans="1:15" ht="18.75" customHeight="1" x14ac:dyDescent="0.25">
      <c r="A9" t="s">
        <v>9</v>
      </c>
      <c r="B9" t="s">
        <v>21</v>
      </c>
      <c r="C9" t="s">
        <v>25</v>
      </c>
      <c r="D9" t="s">
        <v>25</v>
      </c>
      <c r="E9" s="7">
        <v>18000</v>
      </c>
      <c r="F9" s="6">
        <v>120</v>
      </c>
      <c r="G9" s="6">
        <v>85</v>
      </c>
      <c r="H9" s="6">
        <f t="shared" si="1"/>
        <v>35</v>
      </c>
      <c r="I9">
        <f t="shared" si="0"/>
        <v>150</v>
      </c>
      <c r="J9" s="6">
        <f t="shared" si="2"/>
        <v>5250</v>
      </c>
      <c r="K9" s="5">
        <f t="shared" si="3"/>
        <v>0.29166666666666669</v>
      </c>
      <c r="L9" s="5">
        <f t="shared" si="4"/>
        <v>7.4999999999999997E-2</v>
      </c>
      <c r="M9" s="5">
        <f t="shared" si="5"/>
        <v>7.5322812051649923E-2</v>
      </c>
      <c r="N9" s="6">
        <f t="shared" si="6"/>
        <v>12750</v>
      </c>
      <c r="O9" s="5">
        <f t="shared" si="7"/>
        <v>0.41176470588235292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Blair Chant | Strategic Planning Co</cp:lastModifiedBy>
  <cp:revision/>
  <cp:lastPrinted>2026-02-06T11:19:49Z</cp:lastPrinted>
  <dcterms:created xsi:type="dcterms:W3CDTF">2025-11-17T01:11:45Z</dcterms:created>
  <dcterms:modified xsi:type="dcterms:W3CDTF">2026-02-07T10:25:19Z</dcterms:modified>
  <cp:category/>
  <cp:contentStatus/>
</cp:coreProperties>
</file>